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llylime/Documents/GitHub/EAD-ASEB-Ssolidissima-OA/data/"/>
    </mc:Choice>
  </mc:AlternateContent>
  <xr:revisionPtr revIDLastSave="0" documentId="8_{F9059E3B-9752-5041-A211-68C8CB097C7E}" xr6:coauthVersionLast="47" xr6:coauthVersionMax="47" xr10:uidLastSave="{00000000-0000-0000-0000-000000000000}"/>
  <bookViews>
    <workbookView xWindow="39540" yWindow="500" windowWidth="25600" windowHeight="15500" xr2:uid="{B8B42173-12B4-6D4B-9BF4-EC70209455ED}"/>
  </bookViews>
  <sheets>
    <sheet name="test_data_size_at_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E7" i="1"/>
  <c r="C2" i="1" s="1"/>
  <c r="E6" i="1"/>
  <c r="B21" i="1"/>
  <c r="C5" i="1" l="1"/>
  <c r="C3" i="1"/>
  <c r="C4" i="1"/>
  <c r="C8" i="1"/>
  <c r="C7" i="1"/>
  <c r="C10" i="1"/>
  <c r="C6" i="1"/>
  <c r="C9" i="1"/>
  <c r="C38" i="1"/>
  <c r="C34" i="1"/>
  <c r="C22" i="1"/>
  <c r="C37" i="1"/>
  <c r="C33" i="1"/>
  <c r="C29" i="1"/>
  <c r="C25" i="1"/>
  <c r="C30" i="1"/>
  <c r="C40" i="1"/>
  <c r="C36" i="1"/>
  <c r="C32" i="1"/>
  <c r="C28" i="1"/>
  <c r="C24" i="1"/>
  <c r="C26" i="1"/>
  <c r="C39" i="1"/>
  <c r="C35" i="1"/>
  <c r="C31" i="1"/>
  <c r="C27" i="1"/>
  <c r="C23" i="1"/>
  <c r="C21" i="1"/>
  <c r="C16" i="1"/>
  <c r="C17" i="1"/>
  <c r="C14" i="1"/>
  <c r="C18" i="1"/>
  <c r="C13" i="1"/>
  <c r="C20" i="1"/>
  <c r="C15" i="1"/>
  <c r="C12" i="1"/>
  <c r="C19" i="1"/>
  <c r="C11" i="1"/>
</calcChain>
</file>

<file path=xl/sharedStrings.xml><?xml version="1.0" encoding="utf-8"?>
<sst xmlns="http://schemas.openxmlformats.org/spreadsheetml/2006/main" count="50" uniqueCount="13">
  <si>
    <t>Site</t>
  </si>
  <si>
    <t>Eel</t>
  </si>
  <si>
    <t>Barn</t>
  </si>
  <si>
    <t>Param</t>
  </si>
  <si>
    <t>K1</t>
  </si>
  <si>
    <t>Linf1</t>
  </si>
  <si>
    <t>Linf2</t>
  </si>
  <si>
    <t>K2</t>
  </si>
  <si>
    <t>OGP1</t>
  </si>
  <si>
    <t>OGP2</t>
  </si>
  <si>
    <t>Value</t>
  </si>
  <si>
    <t>Lengths</t>
  </si>
  <si>
    <t>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</si>
</sst>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test_data_size_at_age!$C$1</c:f>
              <c:strCache>
                <c:ptCount val="1"/>
                <c:pt idx="0">
                  <c:v>Lengths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test_data_size_at_age!$B$2:$B$40</c:f>
              <c:numCache>
                <c:formatCode>General</c:formatCode>
                <c:ptCount val="39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2</c:v>
                </c:pt>
                <c:pt idx="20">
                  <c:v>10</c:v>
                </c:pt>
                <c:pt idx="21">
                  <c:v>13</c:v>
                </c:pt>
                <c:pt idx="22">
                  <c:v>4</c:v>
                </c:pt>
                <c:pt idx="23">
                  <c:v>10</c:v>
                </c:pt>
                <c:pt idx="24">
                  <c:v>3</c:v>
                </c:pt>
                <c:pt idx="25">
                  <c:v>5</c:v>
                </c:pt>
                <c:pt idx="26">
                  <c:v>9</c:v>
                </c:pt>
                <c:pt idx="27">
                  <c:v>12</c:v>
                </c:pt>
                <c:pt idx="28">
                  <c:v>3</c:v>
                </c:pt>
                <c:pt idx="29">
                  <c:v>14</c:v>
                </c:pt>
                <c:pt idx="30">
                  <c:v>5</c:v>
                </c:pt>
                <c:pt idx="31">
                  <c:v>11</c:v>
                </c:pt>
                <c:pt idx="32">
                  <c:v>5</c:v>
                </c:pt>
                <c:pt idx="33">
                  <c:v>10</c:v>
                </c:pt>
                <c:pt idx="34">
                  <c:v>4</c:v>
                </c:pt>
                <c:pt idx="35">
                  <c:v>15</c:v>
                </c:pt>
                <c:pt idx="36">
                  <c:v>2</c:v>
                </c:pt>
                <c:pt idx="37">
                  <c:v>7</c:v>
                </c:pt>
                <c:pt idx="38">
                  <c:v>6</c:v>
                </c:pt>
              </c:numCache>
            </c:numRef>
          </c:xVal>
          <c:yVal>
            <c:numRef>
              <c:f>test_data_size_at_age!$C$2:$C$40</c:f>
              <c:numCache>
                <c:formatCode>General</c:formatCode>
                <c:ptCount val="39"/>
                <c:pt idx="0">
                  <c:v>41.956657745238708</c:v>
                </c:pt>
                <c:pt idx="1">
                  <c:v>80.940629796059284</c:v>
                </c:pt>
                <c:pt idx="2">
                  <c:v>29.181755144923557</c:v>
                </c:pt>
                <c:pt idx="3">
                  <c:v>63.666253210140155</c:v>
                </c:pt>
                <c:pt idx="4">
                  <c:v>58.533278176123126</c:v>
                </c:pt>
                <c:pt idx="5">
                  <c:v>79.002318261851315</c:v>
                </c:pt>
                <c:pt idx="6">
                  <c:v>65.814624121914136</c:v>
                </c:pt>
                <c:pt idx="7">
                  <c:v>59.101265351504239</c:v>
                </c:pt>
                <c:pt idx="8">
                  <c:v>30.461575836648297</c:v>
                </c:pt>
                <c:pt idx="9">
                  <c:v>65.329361278055046</c:v>
                </c:pt>
                <c:pt idx="10">
                  <c:v>48.080190747214559</c:v>
                </c:pt>
                <c:pt idx="11">
                  <c:v>68.637505824886233</c:v>
                </c:pt>
                <c:pt idx="12">
                  <c:v>66.784366208902711</c:v>
                </c:pt>
                <c:pt idx="13">
                  <c:v>62.026917643079202</c:v>
                </c:pt>
                <c:pt idx="14">
                  <c:v>60.566685507166873</c:v>
                </c:pt>
                <c:pt idx="15">
                  <c:v>52.44354664325212</c:v>
                </c:pt>
                <c:pt idx="16">
                  <c:v>31.472497744354765</c:v>
                </c:pt>
                <c:pt idx="17">
                  <c:v>61.355097036473261</c:v>
                </c:pt>
                <c:pt idx="18">
                  <c:v>58.606003049064249</c:v>
                </c:pt>
                <c:pt idx="19">
                  <c:v>70.036484151046565</c:v>
                </c:pt>
                <c:pt idx="20">
                  <c:v>146.3185583035613</c:v>
                </c:pt>
                <c:pt idx="21">
                  <c:v>138.27649711481348</c:v>
                </c:pt>
                <c:pt idx="22">
                  <c:v>104.50420660692755</c:v>
                </c:pt>
                <c:pt idx="23">
                  <c:v>142.15967966953627</c:v>
                </c:pt>
                <c:pt idx="24">
                  <c:v>79.731792581415945</c:v>
                </c:pt>
                <c:pt idx="25">
                  <c:v>106.25739183900262</c:v>
                </c:pt>
                <c:pt idx="26">
                  <c:v>130.90914984606522</c:v>
                </c:pt>
                <c:pt idx="27">
                  <c:v>140.44526912761626</c:v>
                </c:pt>
                <c:pt idx="28">
                  <c:v>87.198622214640807</c:v>
                </c:pt>
                <c:pt idx="29">
                  <c:v>141.54470912799246</c:v>
                </c:pt>
                <c:pt idx="30">
                  <c:v>116.80090215018662</c:v>
                </c:pt>
                <c:pt idx="31">
                  <c:v>133.86159919213938</c:v>
                </c:pt>
                <c:pt idx="32">
                  <c:v>120.18750186564932</c:v>
                </c:pt>
                <c:pt idx="33">
                  <c:v>149.68020833398504</c:v>
                </c:pt>
                <c:pt idx="34">
                  <c:v>108.03093643261357</c:v>
                </c:pt>
                <c:pt idx="35">
                  <c:v>143.37495734830779</c:v>
                </c:pt>
                <c:pt idx="36">
                  <c:v>58.159192220894909</c:v>
                </c:pt>
                <c:pt idx="37">
                  <c:v>127.19815904177659</c:v>
                </c:pt>
                <c:pt idx="38">
                  <c:v>120.46550340377544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D-074D-8D4A-014F6FED6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38751"/>
        <c:axId val="1243474511"/>
      </c:scatterChart>
      <c:valAx>
        <c:axId val="12578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74511"/>
        <c:crosses val="autoZero"/>
        <c:crossBetween val="midCat"/>
      </c:valAx>
      <c:valAx>
        <c:axId val="12434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83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406401</xdr:colOff>
      <xdr:row>1</xdr:row>
      <xdr:rowOff>94343</xdr:rowOff>
    </xdr:from>
    <xdr:to>
      <xdr:col>11</xdr:col>
      <xdr:colOff>14515</xdr:colOff>
      <xdr:row>14</xdr:row>
      <xdr:rowOff>195943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91B9C-A9B6-1D72-DAD7-6651A8915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2DD3-10E8-FB42-97D9-34AFB6CAC71A}">
  <dimension ref="A1:E40"/>
  <sheetViews>
    <sheetView tabSelected="1" zoomScale="175" zoomScaleNormal="175" workbookViewId="0">
      <selection activeCell="E10" sqref="E10"/>
    </sheetView>
  </sheetViews>
  <sheetFormatPr baseColWidth="10" defaultRowHeight="16" x14ac:dyDescent="0.2"/>
  <sheetData>
    <row r="1" spans="1:5" x14ac:dyDescent="0.2">
      <c r="A1" t="s">
        <v>0</v>
      </c>
      <c r="B1" t="s">
        <v>12</v>
      </c>
      <c r="C1" t="s">
        <v>11</v>
      </c>
      <c r="D1" t="s">
        <v>3</v>
      </c>
      <c r="E1" t="s">
        <v>10</v>
      </c>
    </row>
    <row r="2" spans="1:5" x14ac:dyDescent="0.2">
      <c r="A2" t="s">
        <v>1</v>
      </c>
      <c r="B2">
        <f ca="1">ROUND(RAND()*6,0)+2</f>
        <v>3</v>
      </c>
      <c r="C2">
        <f ca="1">E$3*(1-EXP(-E$7*(B2)))+(RAND()*20-10)</f>
        <v>41.956657745238708</v>
      </c>
      <c r="D2" t="s">
        <v>5</v>
      </c>
      <c r="E2">
        <v>150</v>
      </c>
    </row>
    <row r="3" spans="1:5" x14ac:dyDescent="0.2">
      <c r="A3" t="s">
        <v>1</v>
      </c>
      <c r="B3">
        <f t="shared" ref="B3:B20" ca="1" si="0">ROUND(RAND()*6,0)+2</f>
        <v>7</v>
      </c>
      <c r="C3">
        <f ca="1">E$3*(1-EXP(-E$7*(B3)))+(RAND()*20-10)</f>
        <v>80.940629796059284</v>
      </c>
      <c r="D3" t="s">
        <v>6</v>
      </c>
      <c r="E3">
        <v>90</v>
      </c>
    </row>
    <row r="4" spans="1:5" x14ac:dyDescent="0.2">
      <c r="A4" t="s">
        <v>1</v>
      </c>
      <c r="B4">
        <f t="shared" ca="1" si="0"/>
        <v>2</v>
      </c>
      <c r="C4">
        <f ca="1">E$3*(1-EXP(-E$7*(B4)))+(RAND()*20-10)</f>
        <v>29.181755144923557</v>
      </c>
      <c r="D4" t="s">
        <v>8</v>
      </c>
      <c r="E4">
        <v>1.8</v>
      </c>
    </row>
    <row r="5" spans="1:5" x14ac:dyDescent="0.2">
      <c r="A5" t="s">
        <v>1</v>
      </c>
      <c r="B5">
        <f t="shared" ca="1" si="0"/>
        <v>6</v>
      </c>
      <c r="C5">
        <f ca="1">E$3*(1-EXP(-E$7*(B5)))+(RAND()*20-10)</f>
        <v>63.666253210140155</v>
      </c>
      <c r="D5" t="s">
        <v>9</v>
      </c>
      <c r="E5">
        <v>1.3</v>
      </c>
    </row>
    <row r="6" spans="1:5" x14ac:dyDescent="0.2">
      <c r="A6" t="s">
        <v>1</v>
      </c>
      <c r="B6">
        <f t="shared" ca="1" si="0"/>
        <v>4</v>
      </c>
      <c r="C6">
        <f ca="1">E$3*(1-EXP(-E$7*(B6)))+(RAND()*20-10)</f>
        <v>58.533278176123126</v>
      </c>
      <c r="D6" t="s">
        <v>4</v>
      </c>
      <c r="E6" s="1">
        <f>10^(E4-2*LOG(0.1*E2))</f>
        <v>0.2804254864356413</v>
      </c>
    </row>
    <row r="7" spans="1:5" x14ac:dyDescent="0.2">
      <c r="A7" t="s">
        <v>1</v>
      </c>
      <c r="B7">
        <f t="shared" ca="1" si="0"/>
        <v>6</v>
      </c>
      <c r="C7">
        <f ca="1">E$3*(1-EXP(-E$7*(B7)))+(RAND()*20-10)</f>
        <v>79.002318261851315</v>
      </c>
      <c r="D7" t="s">
        <v>7</v>
      </c>
      <c r="E7" s="1">
        <f>10^(E5-2*LOG(0.1*E3))</f>
        <v>0.2463286808603555</v>
      </c>
    </row>
    <row r="8" spans="1:5" x14ac:dyDescent="0.2">
      <c r="A8" t="s">
        <v>1</v>
      </c>
      <c r="B8">
        <f t="shared" ca="1" si="0"/>
        <v>4</v>
      </c>
      <c r="C8">
        <f ca="1">E$3*(1-EXP(-E$7*(B8)))+(RAND()*20-10)</f>
        <v>65.814624121914136</v>
      </c>
    </row>
    <row r="9" spans="1:5" x14ac:dyDescent="0.2">
      <c r="A9" t="s">
        <v>1</v>
      </c>
      <c r="B9">
        <f t="shared" ca="1" si="0"/>
        <v>4</v>
      </c>
      <c r="C9">
        <f ca="1">E$3*(1-EXP(-E$7*(B9)))+(RAND()*20-10)</f>
        <v>59.101265351504239</v>
      </c>
    </row>
    <row r="10" spans="1:5" x14ac:dyDescent="0.2">
      <c r="A10" t="s">
        <v>1</v>
      </c>
      <c r="B10">
        <f t="shared" ca="1" si="0"/>
        <v>2</v>
      </c>
      <c r="C10">
        <f ca="1">E$3*(1-EXP(-E$7*(B10)))+(RAND()*20-10)</f>
        <v>30.461575836648297</v>
      </c>
    </row>
    <row r="11" spans="1:5" x14ac:dyDescent="0.2">
      <c r="A11" t="s">
        <v>1</v>
      </c>
      <c r="B11">
        <f t="shared" ca="1" si="0"/>
        <v>6</v>
      </c>
      <c r="C11">
        <f ca="1">E$3*(1-EXP(-E$7*(B11)))+(RAND()*20-10)</f>
        <v>65.329361278055046</v>
      </c>
    </row>
    <row r="12" spans="1:5" x14ac:dyDescent="0.2">
      <c r="A12" t="s">
        <v>1</v>
      </c>
      <c r="B12">
        <f t="shared" ca="1" si="0"/>
        <v>4</v>
      </c>
      <c r="C12">
        <f ca="1">E$3*(1-EXP(-E$7*(B12)))+(RAND()*20-10)</f>
        <v>48.080190747214559</v>
      </c>
    </row>
    <row r="13" spans="1:5" x14ac:dyDescent="0.2">
      <c r="A13" t="s">
        <v>1</v>
      </c>
      <c r="B13">
        <f t="shared" ca="1" si="0"/>
        <v>7</v>
      </c>
      <c r="C13">
        <f ca="1">E$3*(1-EXP(-E$7*(B13)))+(RAND()*20-10)</f>
        <v>68.637505824886233</v>
      </c>
    </row>
    <row r="14" spans="1:5" x14ac:dyDescent="0.2">
      <c r="A14" t="s">
        <v>1</v>
      </c>
      <c r="B14">
        <f t="shared" ca="1" si="0"/>
        <v>7</v>
      </c>
      <c r="C14">
        <f ca="1">E$3*(1-EXP(-E$7*(B14)))+(RAND()*20-10)</f>
        <v>66.784366208902711</v>
      </c>
    </row>
    <row r="15" spans="1:5" x14ac:dyDescent="0.2">
      <c r="A15" t="s">
        <v>1</v>
      </c>
      <c r="B15">
        <f t="shared" ca="1" si="0"/>
        <v>6</v>
      </c>
      <c r="C15">
        <f ca="1">E$3*(1-EXP(-E$7*(B15)))+(RAND()*20-10)</f>
        <v>62.026917643079202</v>
      </c>
    </row>
    <row r="16" spans="1:5" x14ac:dyDescent="0.2">
      <c r="A16" t="s">
        <v>1</v>
      </c>
      <c r="B16">
        <f t="shared" ca="1" si="0"/>
        <v>5</v>
      </c>
      <c r="C16">
        <f ca="1">E$3*(1-EXP(-E$7*(B16)))+(RAND()*20-10)</f>
        <v>60.566685507166873</v>
      </c>
    </row>
    <row r="17" spans="1:3" x14ac:dyDescent="0.2">
      <c r="A17" t="s">
        <v>1</v>
      </c>
      <c r="B17">
        <f t="shared" ca="1" si="0"/>
        <v>3</v>
      </c>
      <c r="C17">
        <f ca="1">E$3*(1-EXP(-E$7*(B17)))+(RAND()*20-10)</f>
        <v>52.44354664325212</v>
      </c>
    </row>
    <row r="18" spans="1:3" x14ac:dyDescent="0.2">
      <c r="A18" t="s">
        <v>1</v>
      </c>
      <c r="B18">
        <f t="shared" ca="1" si="0"/>
        <v>2</v>
      </c>
      <c r="C18">
        <f ca="1">E$3*(1-EXP(-E$7*(B18)))+(RAND()*20-10)</f>
        <v>31.472497744354765</v>
      </c>
    </row>
    <row r="19" spans="1:3" x14ac:dyDescent="0.2">
      <c r="A19" t="s">
        <v>1</v>
      </c>
      <c r="B19">
        <f t="shared" ca="1" si="0"/>
        <v>4</v>
      </c>
      <c r="C19">
        <f ca="1">E$3*(1-EXP(-E$7*(B19)))+(RAND()*20-10)</f>
        <v>61.355097036473261</v>
      </c>
    </row>
    <row r="20" spans="1:3" x14ac:dyDescent="0.2">
      <c r="A20" t="s">
        <v>1</v>
      </c>
      <c r="B20">
        <f t="shared" ca="1" si="0"/>
        <v>5</v>
      </c>
      <c r="C20">
        <f ca="1">E$3*(1-EXP(-E$7*(B20)))+(RAND()*20-10)</f>
        <v>58.606003049064249</v>
      </c>
    </row>
    <row r="21" spans="1:3" x14ac:dyDescent="0.2">
      <c r="A21" t="s">
        <v>2</v>
      </c>
      <c r="B21">
        <f ca="1">ROUND(RAND()*14,0)+1</f>
        <v>2</v>
      </c>
      <c r="C21">
        <f ca="1">E$2*(1-EXP(-E$6*(B21)))+(RAND()*20-10)</f>
        <v>70.036484151046565</v>
      </c>
    </row>
    <row r="22" spans="1:3" x14ac:dyDescent="0.2">
      <c r="A22" t="s">
        <v>2</v>
      </c>
      <c r="B22">
        <f t="shared" ref="B22:B40" ca="1" si="1">ROUND(RAND()*14,0)+1</f>
        <v>10</v>
      </c>
      <c r="C22">
        <f ca="1">E$2*(1-EXP(-E$6*(B22)))+(RAND()*20-10)</f>
        <v>146.3185583035613</v>
      </c>
    </row>
    <row r="23" spans="1:3" x14ac:dyDescent="0.2">
      <c r="A23" t="s">
        <v>2</v>
      </c>
      <c r="B23">
        <f t="shared" ca="1" si="1"/>
        <v>13</v>
      </c>
      <c r="C23">
        <f ca="1">E$2*(1-EXP(-E$6*(B23)))+(RAND()*20-10)</f>
        <v>138.27649711481348</v>
      </c>
    </row>
    <row r="24" spans="1:3" x14ac:dyDescent="0.2">
      <c r="A24" t="s">
        <v>2</v>
      </c>
      <c r="B24">
        <f t="shared" ca="1" si="1"/>
        <v>4</v>
      </c>
      <c r="C24">
        <f ca="1">E$2*(1-EXP(-E$6*(B24)))+(RAND()*20-10)</f>
        <v>104.50420660692755</v>
      </c>
    </row>
    <row r="25" spans="1:3" x14ac:dyDescent="0.2">
      <c r="A25" t="s">
        <v>2</v>
      </c>
      <c r="B25">
        <f t="shared" ca="1" si="1"/>
        <v>10</v>
      </c>
      <c r="C25">
        <f ca="1">E$2*(1-EXP(-E$6*(B25)))+(RAND()*20-10)</f>
        <v>142.15967966953627</v>
      </c>
    </row>
    <row r="26" spans="1:3" x14ac:dyDescent="0.2">
      <c r="A26" t="s">
        <v>2</v>
      </c>
      <c r="B26">
        <f t="shared" ca="1" si="1"/>
        <v>3</v>
      </c>
      <c r="C26">
        <f ca="1">E$2*(1-EXP(-E$6*(B26)))+(RAND()*20-10)</f>
        <v>79.731792581415945</v>
      </c>
    </row>
    <row r="27" spans="1:3" x14ac:dyDescent="0.2">
      <c r="A27" t="s">
        <v>2</v>
      </c>
      <c r="B27">
        <f t="shared" ca="1" si="1"/>
        <v>5</v>
      </c>
      <c r="C27">
        <f ca="1">E$2*(1-EXP(-E$6*(B27)))+(RAND()*20-10)</f>
        <v>106.25739183900262</v>
      </c>
    </row>
    <row r="28" spans="1:3" x14ac:dyDescent="0.2">
      <c r="A28" t="s">
        <v>2</v>
      </c>
      <c r="B28">
        <f t="shared" ca="1" si="1"/>
        <v>9</v>
      </c>
      <c r="C28">
        <f ca="1">E$2*(1-EXP(-E$6*(B28)))+(RAND()*20-10)</f>
        <v>130.90914984606522</v>
      </c>
    </row>
    <row r="29" spans="1:3" x14ac:dyDescent="0.2">
      <c r="A29" t="s">
        <v>2</v>
      </c>
      <c r="B29">
        <f t="shared" ca="1" si="1"/>
        <v>12</v>
      </c>
      <c r="C29">
        <f ca="1">E$2*(1-EXP(-E$6*(B29)))+(RAND()*20-10)</f>
        <v>140.44526912761626</v>
      </c>
    </row>
    <row r="30" spans="1:3" x14ac:dyDescent="0.2">
      <c r="A30" t="s">
        <v>2</v>
      </c>
      <c r="B30">
        <f t="shared" ca="1" si="1"/>
        <v>3</v>
      </c>
      <c r="C30">
        <f ca="1">E$2*(1-EXP(-E$6*(B30)))+(RAND()*20-10)</f>
        <v>87.198622214640807</v>
      </c>
    </row>
    <row r="31" spans="1:3" x14ac:dyDescent="0.2">
      <c r="A31" t="s">
        <v>2</v>
      </c>
      <c r="B31">
        <f t="shared" ca="1" si="1"/>
        <v>14</v>
      </c>
      <c r="C31">
        <f ca="1">E$2*(1-EXP(-E$6*(B31)))+(RAND()*20-10)</f>
        <v>141.54470912799246</v>
      </c>
    </row>
    <row r="32" spans="1:3" x14ac:dyDescent="0.2">
      <c r="A32" t="s">
        <v>2</v>
      </c>
      <c r="B32">
        <f t="shared" ca="1" si="1"/>
        <v>5</v>
      </c>
      <c r="C32">
        <f ca="1">E$2*(1-EXP(-E$6*(B32)))+(RAND()*20-10)</f>
        <v>116.80090215018662</v>
      </c>
    </row>
    <row r="33" spans="1:3" x14ac:dyDescent="0.2">
      <c r="A33" t="s">
        <v>2</v>
      </c>
      <c r="B33">
        <f t="shared" ca="1" si="1"/>
        <v>11</v>
      </c>
      <c r="C33">
        <f ca="1">E$2*(1-EXP(-E$6*(B33)))+(RAND()*20-10)</f>
        <v>133.86159919213938</v>
      </c>
    </row>
    <row r="34" spans="1:3" x14ac:dyDescent="0.2">
      <c r="A34" t="s">
        <v>2</v>
      </c>
      <c r="B34">
        <f t="shared" ca="1" si="1"/>
        <v>5</v>
      </c>
      <c r="C34">
        <f ca="1">E$2*(1-EXP(-E$6*(B34)))+(RAND()*20-10)</f>
        <v>120.18750186564932</v>
      </c>
    </row>
    <row r="35" spans="1:3" x14ac:dyDescent="0.2">
      <c r="A35" t="s">
        <v>2</v>
      </c>
      <c r="B35">
        <f t="shared" ca="1" si="1"/>
        <v>10</v>
      </c>
      <c r="C35">
        <f ca="1">E$2*(1-EXP(-E$6*(B35)))+(RAND()*20-10)</f>
        <v>149.68020833398504</v>
      </c>
    </row>
    <row r="36" spans="1:3" x14ac:dyDescent="0.2">
      <c r="A36" t="s">
        <v>2</v>
      </c>
      <c r="B36">
        <f t="shared" ca="1" si="1"/>
        <v>4</v>
      </c>
      <c r="C36">
        <f ca="1">E$2*(1-EXP(-E$6*(B36)))+(RAND()*20-10)</f>
        <v>108.03093643261357</v>
      </c>
    </row>
    <row r="37" spans="1:3" x14ac:dyDescent="0.2">
      <c r="A37" t="s">
        <v>2</v>
      </c>
      <c r="B37">
        <f t="shared" ca="1" si="1"/>
        <v>15</v>
      </c>
      <c r="C37">
        <f ca="1">E$2*(1-EXP(-E$6*(B37)))+(RAND()*20-10)</f>
        <v>143.37495734830779</v>
      </c>
    </row>
    <row r="38" spans="1:3" x14ac:dyDescent="0.2">
      <c r="A38" t="s">
        <v>2</v>
      </c>
      <c r="B38">
        <f t="shared" ca="1" si="1"/>
        <v>2</v>
      </c>
      <c r="C38">
        <f ca="1">E$2*(1-EXP(-E$6*(B38)))+(RAND()*20-10)</f>
        <v>58.159192220894909</v>
      </c>
    </row>
    <row r="39" spans="1:3" x14ac:dyDescent="0.2">
      <c r="A39" t="s">
        <v>2</v>
      </c>
      <c r="B39">
        <f t="shared" ca="1" si="1"/>
        <v>7</v>
      </c>
      <c r="C39">
        <f ca="1">E$2*(1-EXP(-E$6*(B39)))+(RAND()*20-10)</f>
        <v>127.19815904177659</v>
      </c>
    </row>
    <row r="40" spans="1:3" x14ac:dyDescent="0.2">
      <c r="A40" t="s">
        <v>2</v>
      </c>
      <c r="B40">
        <f t="shared" ca="1" si="1"/>
        <v>6</v>
      </c>
      <c r="C40">
        <f ca="1">E$2*(1-EXP(-E$6*(B40)))+(RAND()*20-10)</f>
        <v>120.46550340377544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test_data_size_at_age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2023-07-11T02:43:20Z</dcterms:created>
  <dcterms:modified xsi:type="dcterms:W3CDTF">2023-07-13T19:51:53Z</dcterms:modified>
</cp:coreProperties>
</file>